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s\FamiGest\project-management\schedule\"/>
    </mc:Choice>
  </mc:AlternateContent>
  <xr:revisionPtr revIDLastSave="0" documentId="13_ncr:1_{4E91F658-6EFA-4FA1-8AEE-DDFDA5504027}" xr6:coauthVersionLast="47" xr6:coauthVersionMax="47" xr10:uidLastSave="{00000000-0000-0000-0000-000000000000}"/>
  <bookViews>
    <workbookView xWindow="2985" yWindow="2985" windowWidth="21600" windowHeight="11835" xr2:uid="{00000000-000D-0000-FFFF-FFFF00000000}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<sst xmlns="http://schemas.openxmlformats.org/spreadsheetml/2006/main" count="93" uniqueCount="37">
  <si>
    <t>PROJECT SCHEDULE / GANTT</t>
  </si>
  <si>
    <t>Planeación formal derivada de la WBS. Complete fechas, duración, dependencia y responsable; la zona de Gantt se pinta automáticamente.</t>
  </si>
  <si>
    <t>WBS ID</t>
  </si>
  <si>
    <t>Actividad</t>
  </si>
  <si>
    <t>Responsable</t>
  </si>
  <si>
    <t>Inicio</t>
  </si>
  <si>
    <t>Fin</t>
  </si>
  <si>
    <t>Duración (días)</t>
  </si>
  <si>
    <t>Dependencia</t>
  </si>
  <si>
    <t>Hito</t>
  </si>
  <si>
    <t>Estado</t>
  </si>
  <si>
    <t>Project Charter y Objetivos SMART</t>
  </si>
  <si>
    <t>Líder de proyecto</t>
  </si>
  <si>
    <t>No</t>
  </si>
  <si>
    <t>Terminada</t>
  </si>
  <si>
    <t>Análisis de Interesados y Matriz RACI</t>
  </si>
  <si>
    <t>Registro de Riesgos y Cronograma</t>
  </si>
  <si>
    <t>Configuración del Repositorio en GitHub y Tablero de Proyecto</t>
  </si>
  <si>
    <t>Sí</t>
  </si>
  <si>
    <t>Configuración de estructura base con Expo y React Native</t>
  </si>
  <si>
    <t>Diseño e implementación de la pantalla de Lecciones</t>
  </si>
  <si>
    <t>Implementación de pantalla de Práctica con vista de cámara</t>
  </si>
  <si>
    <t>Componentes UI de retroalimentación (Correcto/Incorrecto)</t>
  </si>
  <si>
    <t>Configuración del pipeline de visión por computadora con MediaPipe</t>
  </si>
  <si>
    <t>Extracción de 21 puntos clave mediante MediaPipe Hand</t>
  </si>
  <si>
    <t>Normalización de coordenadas (x,y)</t>
  </si>
  <si>
    <t>Implementación e integración del clasificador de señas estáticas</t>
  </si>
  <si>
    <t>Diseño y configuración de la API</t>
  </si>
  <si>
    <t>Integración del pipeline de visión por computadora en la API</t>
  </si>
  <si>
    <t>3.4, 4.1</t>
  </si>
  <si>
    <t>Procesamiento de capturas y ejecución del pipeline</t>
  </si>
  <si>
    <t>Envío de resultado de clasificación a la aplicación</t>
  </si>
  <si>
    <t>Integración de retroalimentación y manejo de errores</t>
  </si>
  <si>
    <t>Protocolo de prueba piloto con 2 usuarios finales</t>
  </si>
  <si>
    <t>No iniciada</t>
  </si>
  <si>
    <t>Corrección de errores y optimización de rendimiento</t>
  </si>
  <si>
    <t>Elaboración del paquete de entrega (Construction Handover Package)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</si>
</sst>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8">
    <font>
      <sz val="11"/>
      <color rgb="FF000000"/>
      <name val="Carlito"/>
      <scheme val="minor"/>
    </font>
    <font>
      <b/>
      <sz val="16"/>
      <color rgb="FFFFFFFF"/>
      <name val="Carlito"/>
    </font>
    <font>
      <sz val="10"/>
      <color rgb="FF38556F"/>
      <name val="Carlito"/>
    </font>
    <font>
      <b/>
      <sz val="10"/>
      <color theme="1"/>
      <name val="Carlito"/>
    </font>
    <font>
      <b/>
      <sz val="10"/>
      <color rgb="FFFFFFFF"/>
      <name val="Carlito"/>
    </font>
    <font>
      <sz val="11"/>
      <color rgb="FF000000"/>
      <name val="Carlito"/>
    </font>
    <font>
      <sz val="11"/>
      <color theme="1"/>
      <name val="Carlito"/>
    </font>
    <font>
      <sz val="11"/>
      <color theme="1"/>
      <name val="Carlito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C2848"/>
        <bgColor rgb="FF0C2848"/>
      </patternFill>
    </fill>
    <fill>
      <patternFill patternType="solid">
        <fgColor rgb="FFEEF6FD"/>
        <bgColor rgb="FFEEF6FD"/>
      </patternFill>
    </fill>
    <fill>
      <patternFill patternType="solid">
        <fgColor rgb="FF2778C9"/>
        <bgColor rgb="FF2778C9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 wrapText="1"/>
    </xf>
    <xf numFmtId="16" fontId="4" fillId="4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horizontal="right"/>
    </xf>
    <xf numFmtId="0" fontId="6" fillId="0" borderId="0" xfId="0" applyFont="1" applyAlignment="1">
      <alignment vertical="center" wrapText="1"/>
    </xf>
    <xf numFmtId="0" fontId="5" fillId="0" borderId="3" xfId="0" applyFont="1" applyBorder="1"/>
    <xf numFmtId="0" fontId="7" fillId="0" borderId="0" xfId="0" applyFont="1"/>
    <xf numFmtId="0" fontId="5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vertical="center"/>
    </xf>
    <xf numFmtId="164" fontId="5" fillId="5" borderId="3" xfId="0" applyNumberFormat="1" applyFont="1" applyFill="1" applyBorder="1" applyAlignment="1">
      <alignment horizontal="right"/>
    </xf>
    <xf numFmtId="0" fontId="5" fillId="5" borderId="3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5" borderId="3" xfId="0" applyFont="1" applyFill="1" applyBorder="1"/>
    <xf numFmtId="0" fontId="2" fillId="3" borderId="1" xfId="0" applyFont="1" applyFill="1" applyBorder="1" applyAlignment="1">
      <alignment wrapText="1"/>
    </xf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8">
    <dxf>
      <fill>
        <patternFill patternType="solid">
          <fgColor rgb="FFCFE5F7"/>
          <bgColor rgb="FFCFE5F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FE5F7"/>
          <bgColor rgb="FFCFE5F7"/>
        </patternFill>
      </fill>
    </dxf>
    <dxf>
      <fill>
        <patternFill patternType="solid">
          <fgColor rgb="FFC0E6F5"/>
          <bgColor rgb="FFC0E6F5"/>
        </patternFill>
      </fill>
    </dxf>
    <dxf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156082"/>
          <bgColor rgb="FF156082"/>
        </patternFill>
      </fill>
    </dxf>
  </dxfs>
  <tableStyles count="1" defaultTableStyle="TableStyleMedium9" defaultPivotStyle="PivotStyleLight16">
    <tableStyle name="Schedule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Table" displayName="ScheduleTable" ref="A4:I24">
  <tableColumns count="9">
    <tableColumn id="1" xr3:uid="{00000000-0010-0000-0000-000001000000}" name="WBS ID"/>
    <tableColumn id="2" xr3:uid="{00000000-0010-0000-0000-000002000000}" name="Actividad"/>
    <tableColumn id="3" xr3:uid="{00000000-0010-0000-0000-000003000000}" name="Responsable"/>
    <tableColumn id="4" xr3:uid="{00000000-0010-0000-0000-000004000000}" name="Inicio"/>
    <tableColumn id="5" xr3:uid="{00000000-0010-0000-0000-000005000000}" name="Fin"/>
    <tableColumn id="6" xr3:uid="{00000000-0010-0000-0000-000006000000}" name="Duración (días)"/>
    <tableColumn id="7" xr3:uid="{00000000-0010-0000-0000-000007000000}" name="Dependencia"/>
    <tableColumn id="8" xr3:uid="{00000000-0010-0000-0000-000008000000}" name="Hito"/>
    <tableColumn id="9" xr3:uid="{00000000-0010-0000-0000-000009000000}" name="Estado"/>
  </tableColumns>
  <tableStyleInfo name="Schedu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topLeftCell="A4" workbookViewId="0">
      <selection sqref="A1:W1"/>
    </sheetView>
  </sheetViews>
  <sheetFormatPr baseColWidth="10" defaultColWidth="12.625" defaultRowHeight="15" customHeight="1"/>
  <cols>
    <col min="1" max="1" width="11" customWidth="1"/>
    <col min="2" max="2" width="58.75" customWidth="1"/>
    <col min="3" max="3" width="18" customWidth="1"/>
    <col min="4" max="6" width="13" customWidth="1"/>
    <col min="7" max="7" width="15" customWidth="1"/>
    <col min="8" max="8" width="10" customWidth="1"/>
    <col min="9" max="9" width="16" customWidth="1"/>
    <col min="10" max="10" width="8.625" customWidth="1"/>
    <col min="11" max="23" width="11" customWidth="1"/>
    <col min="24" max="27" width="8.625" customWidth="1"/>
  </cols>
  <sheetData>
    <row r="1" spans="1:23" ht="30" customHeight="1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ht="27.75" customHeight="1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4" spans="1:23" ht="27.7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K4" s="2">
        <v>46258</v>
      </c>
      <c r="L4" s="2">
        <v>46265</v>
      </c>
      <c r="M4" s="2">
        <v>46272</v>
      </c>
      <c r="N4" s="2">
        <v>46279</v>
      </c>
      <c r="O4" s="2">
        <v>46286</v>
      </c>
      <c r="P4" s="2">
        <v>46293</v>
      </c>
      <c r="Q4" s="2">
        <v>46300</v>
      </c>
      <c r="R4" s="2">
        <v>46307</v>
      </c>
      <c r="S4" s="2">
        <v>46314</v>
      </c>
      <c r="T4" s="2">
        <v>46321</v>
      </c>
      <c r="U4" s="2">
        <v>46328</v>
      </c>
      <c r="V4" s="2">
        <v>46335</v>
      </c>
      <c r="W4" s="2">
        <v>46342</v>
      </c>
    </row>
    <row r="5" spans="1:23" ht="14.25">
      <c r="A5" s="3">
        <v>1.1000000000000001</v>
      </c>
      <c r="B5" s="4" t="s">
        <v>11</v>
      </c>
      <c r="C5" s="4" t="s">
        <v>12</v>
      </c>
      <c r="D5" s="5">
        <v>46260</v>
      </c>
      <c r="E5" s="5">
        <v>46261</v>
      </c>
      <c r="F5" s="6">
        <f t="shared" ref="F5:F24" si="0">E5-D5+1</f>
        <v>2</v>
      </c>
      <c r="G5" s="7" t="s">
        <v>13</v>
      </c>
      <c r="H5" s="6" t="s">
        <v>13</v>
      </c>
      <c r="I5" s="6" t="s">
        <v>14</v>
      </c>
      <c r="K5" s="8"/>
    </row>
    <row r="6" spans="1:23" ht="14.25">
      <c r="A6" s="9">
        <v>1.2</v>
      </c>
      <c r="B6" s="10" t="s">
        <v>15</v>
      </c>
      <c r="C6" s="10" t="s">
        <v>12</v>
      </c>
      <c r="D6" s="11">
        <v>46262</v>
      </c>
      <c r="E6" s="11">
        <v>46266</v>
      </c>
      <c r="F6" s="6">
        <f t="shared" si="0"/>
        <v>5</v>
      </c>
      <c r="G6" s="12">
        <v>1.1000000000000001</v>
      </c>
      <c r="H6" s="6" t="s">
        <v>13</v>
      </c>
      <c r="I6" s="6" t="s">
        <v>14</v>
      </c>
      <c r="K6" s="8"/>
      <c r="L6" s="8"/>
    </row>
    <row r="7" spans="1:23" ht="14.25">
      <c r="A7" s="3">
        <v>1.3</v>
      </c>
      <c r="B7" s="4" t="s">
        <v>16</v>
      </c>
      <c r="C7" s="4" t="s">
        <v>12</v>
      </c>
      <c r="D7" s="5">
        <v>46267</v>
      </c>
      <c r="E7" s="5">
        <v>46269</v>
      </c>
      <c r="F7" s="6">
        <f t="shared" si="0"/>
        <v>3</v>
      </c>
      <c r="G7" s="13">
        <v>1.2</v>
      </c>
      <c r="H7" s="6" t="s">
        <v>13</v>
      </c>
      <c r="I7" s="6" t="s">
        <v>14</v>
      </c>
      <c r="L7" s="8"/>
    </row>
    <row r="8" spans="1:23" ht="14.25">
      <c r="A8" s="9">
        <v>1.4</v>
      </c>
      <c r="B8" s="10" t="s">
        <v>17</v>
      </c>
      <c r="C8" s="10" t="s">
        <v>12</v>
      </c>
      <c r="D8" s="11">
        <v>46270</v>
      </c>
      <c r="E8" s="11">
        <v>46282</v>
      </c>
      <c r="F8" s="6">
        <f t="shared" si="0"/>
        <v>13</v>
      </c>
      <c r="G8" s="12">
        <v>1.3</v>
      </c>
      <c r="H8" s="6" t="s">
        <v>18</v>
      </c>
      <c r="I8" s="6" t="s">
        <v>14</v>
      </c>
      <c r="L8" s="8"/>
      <c r="M8" s="8"/>
      <c r="N8" s="8"/>
    </row>
    <row r="9" spans="1:23" ht="14.25">
      <c r="A9" s="3">
        <v>2.1</v>
      </c>
      <c r="B9" s="4" t="s">
        <v>19</v>
      </c>
      <c r="C9" s="4" t="s">
        <v>12</v>
      </c>
      <c r="D9" s="5">
        <v>46283</v>
      </c>
      <c r="E9" s="5">
        <v>46284</v>
      </c>
      <c r="F9" s="6">
        <f t="shared" si="0"/>
        <v>2</v>
      </c>
      <c r="G9" s="13">
        <v>1.4</v>
      </c>
      <c r="H9" s="6" t="s">
        <v>13</v>
      </c>
      <c r="I9" s="6" t="s">
        <v>14</v>
      </c>
      <c r="N9" s="8"/>
    </row>
    <row r="10" spans="1:23" ht="14.25">
      <c r="A10" s="9">
        <v>2.2000000000000002</v>
      </c>
      <c r="B10" s="10" t="s">
        <v>20</v>
      </c>
      <c r="C10" s="10" t="s">
        <v>12</v>
      </c>
      <c r="D10" s="11">
        <v>46285</v>
      </c>
      <c r="E10" s="11">
        <v>46287</v>
      </c>
      <c r="F10" s="6">
        <f t="shared" si="0"/>
        <v>3</v>
      </c>
      <c r="G10" s="12">
        <v>2.1</v>
      </c>
      <c r="H10" s="6" t="s">
        <v>13</v>
      </c>
      <c r="I10" s="6" t="s">
        <v>14</v>
      </c>
      <c r="N10" s="8"/>
      <c r="O10" s="8"/>
    </row>
    <row r="11" spans="1:23" ht="14.25">
      <c r="A11" s="3">
        <v>2.2999999999999998</v>
      </c>
      <c r="B11" s="4" t="s">
        <v>21</v>
      </c>
      <c r="C11" s="4" t="s">
        <v>12</v>
      </c>
      <c r="D11" s="5">
        <v>46288</v>
      </c>
      <c r="E11" s="5">
        <v>46290</v>
      </c>
      <c r="F11" s="6">
        <f t="shared" si="0"/>
        <v>3</v>
      </c>
      <c r="G11" s="13">
        <v>2.2000000000000002</v>
      </c>
      <c r="H11" s="6" t="s">
        <v>13</v>
      </c>
      <c r="I11" s="6" t="s">
        <v>14</v>
      </c>
      <c r="O11" s="8"/>
    </row>
    <row r="12" spans="1:23" ht="14.25">
      <c r="A12" s="9">
        <v>2.4</v>
      </c>
      <c r="B12" s="10" t="s">
        <v>22</v>
      </c>
      <c r="C12" s="10" t="s">
        <v>12</v>
      </c>
      <c r="D12" s="11">
        <v>46291</v>
      </c>
      <c r="E12" s="11">
        <v>46292</v>
      </c>
      <c r="F12" s="6">
        <f t="shared" si="0"/>
        <v>2</v>
      </c>
      <c r="G12" s="12">
        <v>2.2999999999999998</v>
      </c>
      <c r="H12" s="6" t="s">
        <v>18</v>
      </c>
      <c r="I12" s="6" t="s">
        <v>14</v>
      </c>
      <c r="O12" s="8"/>
    </row>
    <row r="13" spans="1:23" ht="14.25">
      <c r="A13" s="3">
        <v>3.1</v>
      </c>
      <c r="B13" s="4" t="s">
        <v>23</v>
      </c>
      <c r="C13" s="4" t="s">
        <v>12</v>
      </c>
      <c r="D13" s="5">
        <v>46293</v>
      </c>
      <c r="E13" s="5">
        <v>46294</v>
      </c>
      <c r="F13" s="6">
        <f t="shared" si="0"/>
        <v>2</v>
      </c>
      <c r="G13" s="13">
        <v>1.4</v>
      </c>
      <c r="H13" s="6" t="s">
        <v>13</v>
      </c>
      <c r="I13" s="6" t="s">
        <v>14</v>
      </c>
      <c r="P13" s="8"/>
    </row>
    <row r="14" spans="1:23" ht="14.25">
      <c r="A14" s="9">
        <v>3.2</v>
      </c>
      <c r="B14" s="10" t="s">
        <v>24</v>
      </c>
      <c r="C14" s="10" t="s">
        <v>12</v>
      </c>
      <c r="D14" s="11">
        <v>46295</v>
      </c>
      <c r="E14" s="11">
        <v>46298</v>
      </c>
      <c r="F14" s="6">
        <f t="shared" si="0"/>
        <v>4</v>
      </c>
      <c r="G14" s="12">
        <v>3.1</v>
      </c>
      <c r="H14" s="6" t="s">
        <v>13</v>
      </c>
      <c r="I14" s="6" t="s">
        <v>14</v>
      </c>
      <c r="P14" s="8"/>
    </row>
    <row r="15" spans="1:23" ht="14.25">
      <c r="A15" s="3">
        <v>3.3</v>
      </c>
      <c r="B15" s="4" t="s">
        <v>25</v>
      </c>
      <c r="C15" s="4" t="s">
        <v>12</v>
      </c>
      <c r="D15" s="5">
        <v>46299</v>
      </c>
      <c r="E15" s="5">
        <v>46300</v>
      </c>
      <c r="F15" s="6">
        <f t="shared" si="0"/>
        <v>2</v>
      </c>
      <c r="G15" s="13">
        <v>3.2</v>
      </c>
      <c r="H15" s="6" t="s">
        <v>13</v>
      </c>
      <c r="I15" s="6" t="s">
        <v>14</v>
      </c>
      <c r="P15" s="8"/>
      <c r="Q15" s="8"/>
    </row>
    <row r="16" spans="1:23" ht="14.25">
      <c r="A16" s="9">
        <v>3.4</v>
      </c>
      <c r="B16" s="10" t="s">
        <v>26</v>
      </c>
      <c r="C16" s="10" t="s">
        <v>12</v>
      </c>
      <c r="D16" s="11">
        <v>46301</v>
      </c>
      <c r="E16" s="11">
        <v>46304</v>
      </c>
      <c r="F16" s="6">
        <f t="shared" si="0"/>
        <v>4</v>
      </c>
      <c r="G16" s="12">
        <v>3.3</v>
      </c>
      <c r="H16" s="6" t="s">
        <v>18</v>
      </c>
      <c r="I16" s="6" t="s">
        <v>14</v>
      </c>
      <c r="Q16" s="8"/>
    </row>
    <row r="17" spans="1:21" ht="14.25">
      <c r="A17" s="3">
        <v>4.0999999999999996</v>
      </c>
      <c r="B17" s="4" t="s">
        <v>27</v>
      </c>
      <c r="C17" s="4" t="s">
        <v>12</v>
      </c>
      <c r="D17" s="5">
        <v>46305</v>
      </c>
      <c r="E17" s="5">
        <v>46305</v>
      </c>
      <c r="F17" s="6">
        <f t="shared" si="0"/>
        <v>1</v>
      </c>
      <c r="G17" s="13">
        <v>1.4</v>
      </c>
      <c r="H17" s="6" t="s">
        <v>13</v>
      </c>
      <c r="I17" s="6" t="s">
        <v>14</v>
      </c>
      <c r="Q17" s="8"/>
    </row>
    <row r="18" spans="1:21" ht="14.25">
      <c r="A18" s="9">
        <v>4.2</v>
      </c>
      <c r="B18" s="10" t="s">
        <v>28</v>
      </c>
      <c r="C18" s="10" t="s">
        <v>12</v>
      </c>
      <c r="D18" s="11">
        <v>46306</v>
      </c>
      <c r="E18" s="11">
        <v>46307</v>
      </c>
      <c r="F18" s="6">
        <f t="shared" si="0"/>
        <v>2</v>
      </c>
      <c r="G18" s="12" t="s">
        <v>29</v>
      </c>
      <c r="H18" s="6" t="s">
        <v>13</v>
      </c>
      <c r="I18" s="6" t="s">
        <v>14</v>
      </c>
      <c r="Q18" s="8"/>
      <c r="R18" s="8"/>
    </row>
    <row r="19" spans="1:21" ht="14.25">
      <c r="A19" s="3">
        <v>4.3</v>
      </c>
      <c r="B19" s="4" t="s">
        <v>30</v>
      </c>
      <c r="C19" s="4" t="s">
        <v>12</v>
      </c>
      <c r="D19" s="5">
        <v>46308</v>
      </c>
      <c r="E19" s="5">
        <v>46310</v>
      </c>
      <c r="F19" s="6">
        <f t="shared" si="0"/>
        <v>3</v>
      </c>
      <c r="G19" s="13">
        <v>4.2</v>
      </c>
      <c r="H19" s="6" t="s">
        <v>13</v>
      </c>
      <c r="I19" s="6" t="s">
        <v>14</v>
      </c>
      <c r="R19" s="8"/>
    </row>
    <row r="20" spans="1:21" ht="14.25">
      <c r="A20" s="9">
        <v>4.4000000000000004</v>
      </c>
      <c r="B20" s="10" t="s">
        <v>31</v>
      </c>
      <c r="C20" s="10" t="s">
        <v>12</v>
      </c>
      <c r="D20" s="11">
        <v>46311</v>
      </c>
      <c r="E20" s="11">
        <v>46311</v>
      </c>
      <c r="F20" s="6">
        <f t="shared" si="0"/>
        <v>1</v>
      </c>
      <c r="G20" s="12">
        <v>4.3</v>
      </c>
      <c r="H20" s="6" t="s">
        <v>13</v>
      </c>
      <c r="I20" s="6" t="s">
        <v>14</v>
      </c>
      <c r="R20" s="8"/>
    </row>
    <row r="21" spans="1:21" ht="15.75" customHeight="1">
      <c r="A21" s="3">
        <v>4.5</v>
      </c>
      <c r="B21" s="4" t="s">
        <v>32</v>
      </c>
      <c r="C21" s="4" t="s">
        <v>12</v>
      </c>
      <c r="D21" s="5">
        <v>46312</v>
      </c>
      <c r="E21" s="5">
        <v>46313</v>
      </c>
      <c r="F21" s="6">
        <f t="shared" si="0"/>
        <v>2</v>
      </c>
      <c r="G21" s="13">
        <v>4.4000000000000004</v>
      </c>
      <c r="H21" s="6" t="s">
        <v>18</v>
      </c>
      <c r="I21" s="6" t="s">
        <v>14</v>
      </c>
      <c r="R21" s="8"/>
    </row>
    <row r="22" spans="1:21" ht="15.75" customHeight="1">
      <c r="A22" s="9">
        <v>5.0999999999999996</v>
      </c>
      <c r="B22" s="10" t="s">
        <v>33</v>
      </c>
      <c r="C22" s="10" t="s">
        <v>12</v>
      </c>
      <c r="D22" s="11">
        <v>46314</v>
      </c>
      <c r="E22" s="11">
        <v>46316</v>
      </c>
      <c r="F22" s="6">
        <f t="shared" si="0"/>
        <v>3</v>
      </c>
      <c r="G22" s="12">
        <v>4.5</v>
      </c>
      <c r="H22" s="6" t="s">
        <v>13</v>
      </c>
      <c r="I22" s="6" t="s">
        <v>34</v>
      </c>
      <c r="S22" s="8"/>
    </row>
    <row r="23" spans="1:21" ht="15.75" customHeight="1">
      <c r="A23" s="3">
        <v>5.2</v>
      </c>
      <c r="B23" s="4" t="s">
        <v>35</v>
      </c>
      <c r="C23" s="4" t="s">
        <v>12</v>
      </c>
      <c r="D23" s="5">
        <v>46317</v>
      </c>
      <c r="E23" s="5">
        <v>46324</v>
      </c>
      <c r="F23" s="6">
        <f t="shared" si="0"/>
        <v>8</v>
      </c>
      <c r="G23" s="13">
        <v>5.0999999999999996</v>
      </c>
      <c r="H23" s="6" t="s">
        <v>13</v>
      </c>
      <c r="I23" s="6" t="s">
        <v>34</v>
      </c>
      <c r="S23" s="8"/>
      <c r="T23" s="8"/>
    </row>
    <row r="24" spans="1:21" ht="15.75" customHeight="1">
      <c r="A24" s="9">
        <v>5.3</v>
      </c>
      <c r="B24" s="14" t="s">
        <v>36</v>
      </c>
      <c r="C24" s="10" t="s">
        <v>12</v>
      </c>
      <c r="D24" s="11">
        <v>46325</v>
      </c>
      <c r="E24" s="11">
        <v>46334</v>
      </c>
      <c r="F24" s="6">
        <f t="shared" si="0"/>
        <v>10</v>
      </c>
      <c r="G24" s="12">
        <v>5.2</v>
      </c>
      <c r="H24" s="6" t="s">
        <v>18</v>
      </c>
      <c r="I24" s="6" t="s">
        <v>34</v>
      </c>
      <c r="T24" s="8"/>
      <c r="U24" s="8"/>
    </row>
    <row r="25" spans="1:21" ht="15.75" customHeight="1"/>
    <row r="26" spans="1:21" ht="15.75" customHeight="1"/>
    <row r="27" spans="1:21" ht="15.75" customHeight="1"/>
    <row r="28" spans="1:21" ht="15.75" customHeight="1"/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W2"/>
    <mergeCell ref="A1:W1"/>
  </mergeCells>
  <conditionalFormatting sqref="D8">
    <cfRule type="notContainsBlanks" dxfId="3" priority="16">
      <formula>LEN(TRIM(D8))&gt;0</formula>
    </cfRule>
  </conditionalFormatting>
  <conditionalFormatting sqref="K5:W19">
    <cfRule type="expression" dxfId="2" priority="1">
      <formula>AND(K$4&lt;=$E5,K$4+6&gt;=$D5)</formula>
    </cfRule>
  </conditionalFormatting>
  <conditionalFormatting sqref="K5:W24">
    <cfRule type="notContainsBlanks" dxfId="1" priority="17">
      <formula>LEN(TRIM(K5))&gt;0</formula>
    </cfRule>
    <cfRule type="expression" dxfId="0" priority="18">
      <formula>AND(K$4&lt;=$E5,K$4+6&gt;=$D5)</formula>
    </cfRule>
  </conditionalFormatting>
  <dataValidations count="2">
    <dataValidation type="list" allowBlank="1" sqref="I5:I24" xr:uid="{00000000-0002-0000-0000-000000000000}">
      <formula1>"No iniciada,En progreso,Bloqueada,En revisión,Terminada"</formula1>
    </dataValidation>
    <dataValidation type="list" allowBlank="1" sqref="H5:H24" xr:uid="{00000000-0002-0000-0000-000001000000}">
      <formula1>"Sí,No"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Mafer M.</cp:lastModifiedBy>
  <dcterms:created xsi:type="dcterms:W3CDTF">2026-10-17T21:46:51Z</dcterms:created>
  <dcterms:modified xsi:type="dcterms:W3CDTF">2026-10-17T21:52:33Z</dcterms:modified>
</cp:coreProperties>
</file>