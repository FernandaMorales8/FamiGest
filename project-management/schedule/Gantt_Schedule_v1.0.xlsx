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<sst xmlns="http://schemas.openxmlformats.org/spreadsheetml/2006/main" count="93" uniqueCount="37">
  <si>
    <t>PROJECT SCHEDULE / GANTT</t>
  </si>
  <si>
    <t>Planeación formal derivada de la WBS. Complete fechas, duración, dependencia y responsable; la zona de Gantt se pinta automáticamente.</t>
  </si>
  <si>
    <t>WBS ID</t>
  </si>
  <si>
    <t>Actividad</t>
  </si>
  <si>
    <t>Responsable</t>
  </si>
  <si>
    <t>Inicio</t>
  </si>
  <si>
    <t>Fin</t>
  </si>
  <si>
    <t>Duración (días)</t>
  </si>
  <si>
    <t>Dependencia</t>
  </si>
  <si>
    <t>Hito</t>
  </si>
  <si>
    <t>Estado</t>
  </si>
  <si>
    <t>Project Charter y Objetivos SMART</t>
  </si>
  <si>
    <t>Líder de proyecto</t>
  </si>
  <si>
    <t>No</t>
  </si>
  <si>
    <t>Terminada</t>
  </si>
  <si>
    <t>Análisis de Interesados y Matriz RACI</t>
  </si>
  <si>
    <t>Registro de Riesgos y Cronograma</t>
  </si>
  <si>
    <t>Configuración del Repositorio en GitHub y Tablero de Proyecto</t>
  </si>
  <si>
    <t>Sí</t>
  </si>
  <si>
    <t>Configuración de estructura base con Expo y React Native</t>
  </si>
  <si>
    <t>No iniciada</t>
  </si>
  <si>
    <t>Diseño e implementación de la pantalla de Lecciones</t>
  </si>
  <si>
    <t>Implementación de pantalla de Práctica con vista de cámara</t>
  </si>
  <si>
    <t>Componentes UI de retroalimentación (Correcto/Incorrecto)</t>
  </si>
  <si>
    <t>Configuración del pipeline de visión por computadora con MediaPipe</t>
  </si>
  <si>
    <t>Extracción de 21 puntos clave mediante MediaPipe Hand</t>
  </si>
  <si>
    <t>Normalización de coordenadas (x,y)</t>
  </si>
  <si>
    <t>Implementación e integración del clasificador de señas estáticas</t>
  </si>
  <si>
    <t>Diseño y configuración de la API</t>
  </si>
  <si>
    <t>Integración del pipeline de visión por computadora en la API</t>
  </si>
  <si>
    <t>3.4, 4.1</t>
  </si>
  <si>
    <t>Procesamiento de capturas y ejecución del pipeline</t>
  </si>
  <si>
    <t>Envío de resultado de clasificación a la aplicación</t>
  </si>
  <si>
    <t>Integración de retroalimentación y manejo de errores</t>
  </si>
  <si>
    <t>Protocolo de prueba piloto con 2 usuarios finales</t>
  </si>
  <si>
    <t>Corrección de errores y optimización de rendimiento</t>
  </si>
  <si>
    <t>Elaboración del paquete de entrega (Construction Handover Package)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</si>
</sst>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"/>
    <numFmt numFmtId="165" formatCode="yyyy\-mm\-dd"/>
    <numFmt numFmtId="166" formatCode="yyyy-mm-dd"/>
  </numFmts>
  <fonts count="9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sz val="10.0"/>
      <color rgb="FF38556F"/>
      <name val="Carlito"/>
    </font>
    <font>
      <b/>
      <sz val="10.0"/>
      <color theme="1"/>
      <name val="Carlito"/>
    </font>
    <font>
      <b/>
      <sz val="10.0"/>
      <color rgb="FFFFFFFF"/>
      <name val="Carlito"/>
    </font>
    <font>
      <sz val="11.0"/>
      <color rgb="FF000000"/>
      <name val="Carlito"/>
    </font>
    <font>
      <sz val="11.0"/>
      <color theme="1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C2848"/>
        <bgColor rgb="FF0C2848"/>
      </patternFill>
    </fill>
    <fill>
      <patternFill patternType="solid">
        <fgColor rgb="FFEEF6FD"/>
        <bgColor rgb="FFEEF6FD"/>
      </patternFill>
    </fill>
    <fill>
      <patternFill patternType="solid">
        <fgColor rgb="FF2778C9"/>
        <bgColor rgb="FF2778C9"/>
      </patternFill>
    </fill>
    <fill>
      <patternFill patternType="solid">
        <fgColor rgb="FFC0E6F5"/>
        <bgColor rgb="FFC0E6F5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4" fillId="4" fontId="5" numFmtId="164" xfId="0" applyAlignment="1" applyBorder="1" applyFill="1" applyFont="1" applyNumberFormat="1">
      <alignment horizontal="center" readingOrder="0" shrinkToFit="0" vertical="center" wrapText="1"/>
    </xf>
    <xf borderId="4" fillId="4" fontId="5" numFmtId="164" xfId="0" applyAlignment="1" applyBorder="1" applyFill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left"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6" fillId="0" fontId="6" numFmtId="165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center" wrapText="1"/>
    </xf>
    <xf borderId="6" fillId="0" fontId="6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center" wrapText="1"/>
    </xf>
    <xf borderId="0" fillId="0" fontId="8" numFmtId="0" xfId="0" applyFont="1"/>
    <xf borderId="5" fillId="5" fontId="6" numFmtId="0" xfId="0" applyAlignment="1" applyBorder="1" applyFill="1" applyFont="1">
      <alignment horizontal="left" readingOrder="0" shrinkToFit="0" vertical="center" wrapText="0"/>
    </xf>
    <xf borderId="6" fillId="5" fontId="6" numFmtId="0" xfId="0" applyAlignment="1" applyBorder="1" applyFill="1" applyFont="1">
      <alignment readingOrder="0" shrinkToFit="0" vertical="center" wrapText="0"/>
    </xf>
    <xf borderId="6" fillId="5" fontId="6" numFmtId="165" xfId="0" applyAlignment="1" applyBorder="1" applyFill="1" applyFont="1" applyNumberFormat="1">
      <alignment horizontal="right" readingOrder="0" shrinkToFit="0" vertical="bottom" wrapText="0"/>
    </xf>
    <xf borderId="6" fillId="5" fontId="6" numFmtId="0" xfId="0" applyAlignment="1" applyBorder="1" applyFill="1" applyFont="1">
      <alignment horizontal="left" readingOrder="0" shrinkToFit="0" vertical="bottom" wrapText="0"/>
    </xf>
    <xf borderId="6" fillId="0" fontId="6" numFmtId="0" xfId="0" applyAlignment="1" applyBorder="1" applyFont="1">
      <alignment horizontal="left" readingOrder="0" shrinkToFit="0" vertical="bottom" wrapText="0"/>
    </xf>
    <xf borderId="6" fillId="5" fontId="6" numFmtId="166" xfId="0" applyAlignment="1" applyBorder="1" applyFill="1" applyFont="1" applyNumberFormat="1">
      <alignment horizontal="right" readingOrder="0" shrinkToFit="0" vertical="bottom" wrapText="0"/>
    </xf>
    <xf borderId="6" fillId="0" fontId="6" numFmtId="166" xfId="0" applyAlignment="1" applyBorder="1" applyFont="1" applyNumberFormat="1">
      <alignment horizontal="right" readingOrder="0" shrinkToFit="0" vertical="bottom" wrapText="0"/>
    </xf>
    <xf borderId="6" fillId="5" fontId="6" numFmtId="0" xfId="0" applyAlignment="1" applyBorder="1" applyFill="1" applyFont="1">
      <alignment readingOrder="0" shrinkToFit="0" vertical="bottom" wrapText="0"/>
    </xf>
    <xf borderId="6" fillId="5" fontId="6" numFmtId="0" xfId="0" applyAlignment="1" applyBorder="1" applyFill="1" applyFont="1">
      <alignment horizontal="left" readingOrder="0"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156082"/>
          <bgColor rgb="FF156082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FE5F7"/>
          <bgColor rgb="FFCFE5F7"/>
        </patternFill>
      </fill>
      <border/>
    </dxf>
    <dxf>
      <font/>
      <fill>
        <patternFill patternType="solid">
          <fgColor rgb="FFC0E6F5"/>
          <bgColor rgb="FFC0E6F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chedu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I24" displayName="ScheduleTable" name="ScheduleTable" id="1">
  <tableColumns count="9">
    <tableColumn name="WBS ID" id="1"/>
    <tableColumn name="Actividad" id="2"/>
    <tableColumn name="Responsable" id="3"/>
    <tableColumn name="Inicio" id="4"/>
    <tableColumn name="Fin" id="5"/>
    <tableColumn name="Duración (días)" id="6"/>
    <tableColumn name="Dependencia" id="7"/>
    <tableColumn name="Hito" id="8"/>
    <tableColumn name="Estado" id="9"/>
  </tableColumns>
  <tableStyleInfo name="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0.0"/>
    <col customWidth="1" min="3" max="3" width="18.0"/>
    <col customWidth="1" min="4" max="6" width="13.0"/>
    <col customWidth="1" min="7" max="7" width="15.0"/>
    <col customWidth="1" min="8" max="8" width="10.0"/>
    <col customWidth="1" min="9" max="9" width="16.0"/>
    <col customWidth="1" min="10" max="10" width="8.63"/>
    <col customWidth="1" min="11" max="23" width="11.0"/>
    <col customWidth="1" min="24" max="27" width="8.63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27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K4" s="6">
        <v>46258.0</v>
      </c>
      <c r="L4" s="7">
        <v>46265.0</v>
      </c>
      <c r="M4" s="7">
        <v>46272.0</v>
      </c>
      <c r="N4" s="7">
        <v>46279.0</v>
      </c>
      <c r="O4" s="7">
        <v>46286.0</v>
      </c>
      <c r="P4" s="7">
        <v>46293.0</v>
      </c>
      <c r="Q4" s="7">
        <v>46300.0</v>
      </c>
      <c r="R4" s="7">
        <v>46307.0</v>
      </c>
      <c r="S4" s="7">
        <v>46314.0</v>
      </c>
      <c r="T4" s="7">
        <v>46321.0</v>
      </c>
      <c r="U4" s="7">
        <v>46328.0</v>
      </c>
      <c r="V4" s="7">
        <v>46335.0</v>
      </c>
      <c r="W4" s="7">
        <v>46342.0</v>
      </c>
    </row>
    <row r="5">
      <c r="A5" s="8">
        <v>1.1</v>
      </c>
      <c r="B5" s="9" t="s">
        <v>11</v>
      </c>
      <c r="C5" s="9" t="s">
        <v>12</v>
      </c>
      <c r="D5" s="10">
        <v>46260.0</v>
      </c>
      <c r="E5" s="10">
        <v>46261.0</v>
      </c>
      <c r="F5" s="11">
        <f t="shared" ref="F5:F24" si="1">E5-D5+1</f>
        <v>2</v>
      </c>
      <c r="G5" s="12" t="s">
        <v>13</v>
      </c>
      <c r="H5" s="11" t="s">
        <v>13</v>
      </c>
      <c r="I5" s="13" t="s">
        <v>14</v>
      </c>
      <c r="K5" s="14"/>
    </row>
    <row r="6">
      <c r="A6" s="15">
        <v>1.2</v>
      </c>
      <c r="B6" s="16" t="s">
        <v>15</v>
      </c>
      <c r="C6" s="16" t="s">
        <v>12</v>
      </c>
      <c r="D6" s="17">
        <v>46262.0</v>
      </c>
      <c r="E6" s="17">
        <v>46266.0</v>
      </c>
      <c r="F6" s="11">
        <f t="shared" si="1"/>
        <v>5</v>
      </c>
      <c r="G6" s="18">
        <v>1.1</v>
      </c>
      <c r="H6" s="11" t="s">
        <v>13</v>
      </c>
      <c r="I6" s="13" t="s">
        <v>14</v>
      </c>
      <c r="K6" s="14"/>
      <c r="L6" s="14"/>
    </row>
    <row r="7">
      <c r="A7" s="8">
        <v>1.3</v>
      </c>
      <c r="B7" s="9" t="s">
        <v>16</v>
      </c>
      <c r="C7" s="9" t="s">
        <v>12</v>
      </c>
      <c r="D7" s="10">
        <v>46267.0</v>
      </c>
      <c r="E7" s="10">
        <v>46269.0</v>
      </c>
      <c r="F7" s="11">
        <f t="shared" si="1"/>
        <v>3</v>
      </c>
      <c r="G7" s="19">
        <v>1.2</v>
      </c>
      <c r="H7" s="11" t="s">
        <v>13</v>
      </c>
      <c r="I7" s="13" t="s">
        <v>14</v>
      </c>
      <c r="L7" s="14"/>
    </row>
    <row r="8">
      <c r="A8" s="15">
        <v>1.4</v>
      </c>
      <c r="B8" s="16" t="s">
        <v>17</v>
      </c>
      <c r="C8" s="16" t="s">
        <v>12</v>
      </c>
      <c r="D8" s="17">
        <v>46270.0</v>
      </c>
      <c r="E8" s="17">
        <v>46282.0</v>
      </c>
      <c r="F8" s="11">
        <f t="shared" si="1"/>
        <v>13</v>
      </c>
      <c r="G8" s="18">
        <v>1.3</v>
      </c>
      <c r="H8" s="13" t="s">
        <v>18</v>
      </c>
      <c r="I8" s="13" t="s">
        <v>14</v>
      </c>
      <c r="L8" s="14"/>
      <c r="M8" s="14"/>
      <c r="N8" s="14"/>
    </row>
    <row r="9">
      <c r="A9" s="8">
        <v>2.1</v>
      </c>
      <c r="B9" s="9" t="s">
        <v>19</v>
      </c>
      <c r="C9" s="9" t="s">
        <v>12</v>
      </c>
      <c r="D9" s="10">
        <v>46283.0</v>
      </c>
      <c r="E9" s="10">
        <v>46284.0</v>
      </c>
      <c r="F9" s="11">
        <f t="shared" si="1"/>
        <v>2</v>
      </c>
      <c r="G9" s="19">
        <v>1.4</v>
      </c>
      <c r="H9" s="11" t="s">
        <v>13</v>
      </c>
      <c r="I9" s="11" t="s">
        <v>20</v>
      </c>
      <c r="N9" s="14"/>
    </row>
    <row r="10">
      <c r="A10" s="15">
        <v>2.2</v>
      </c>
      <c r="B10" s="16" t="s">
        <v>21</v>
      </c>
      <c r="C10" s="16" t="s">
        <v>12</v>
      </c>
      <c r="D10" s="17">
        <v>46285.0</v>
      </c>
      <c r="E10" s="17">
        <v>46287.0</v>
      </c>
      <c r="F10" s="11">
        <f t="shared" si="1"/>
        <v>3</v>
      </c>
      <c r="G10" s="18">
        <v>2.1</v>
      </c>
      <c r="H10" s="11" t="s">
        <v>13</v>
      </c>
      <c r="I10" s="11" t="s">
        <v>20</v>
      </c>
      <c r="N10" s="14"/>
      <c r="O10" s="14"/>
    </row>
    <row r="11">
      <c r="A11" s="8">
        <v>2.3</v>
      </c>
      <c r="B11" s="9" t="s">
        <v>22</v>
      </c>
      <c r="C11" s="9" t="s">
        <v>12</v>
      </c>
      <c r="D11" s="10">
        <v>46288.0</v>
      </c>
      <c r="E11" s="10">
        <v>46290.0</v>
      </c>
      <c r="F11" s="11">
        <f t="shared" si="1"/>
        <v>3</v>
      </c>
      <c r="G11" s="19">
        <v>2.2</v>
      </c>
      <c r="H11" s="11" t="s">
        <v>13</v>
      </c>
      <c r="I11" s="11" t="s">
        <v>20</v>
      </c>
      <c r="O11" s="14"/>
    </row>
    <row r="12">
      <c r="A12" s="15">
        <v>2.4</v>
      </c>
      <c r="B12" s="16" t="s">
        <v>23</v>
      </c>
      <c r="C12" s="16" t="s">
        <v>12</v>
      </c>
      <c r="D12" s="17">
        <v>46291.0</v>
      </c>
      <c r="E12" s="17">
        <v>46292.0</v>
      </c>
      <c r="F12" s="11">
        <f t="shared" si="1"/>
        <v>2</v>
      </c>
      <c r="G12" s="18">
        <v>2.3</v>
      </c>
      <c r="H12" s="13" t="s">
        <v>18</v>
      </c>
      <c r="I12" s="11" t="s">
        <v>20</v>
      </c>
      <c r="O12" s="14"/>
    </row>
    <row r="13">
      <c r="A13" s="8">
        <v>3.1</v>
      </c>
      <c r="B13" s="9" t="s">
        <v>24</v>
      </c>
      <c r="C13" s="9" t="s">
        <v>12</v>
      </c>
      <c r="D13" s="10">
        <v>46293.0</v>
      </c>
      <c r="E13" s="10">
        <v>46294.0</v>
      </c>
      <c r="F13" s="11">
        <f t="shared" si="1"/>
        <v>2</v>
      </c>
      <c r="G13" s="19">
        <v>1.4</v>
      </c>
      <c r="H13" s="11" t="s">
        <v>13</v>
      </c>
      <c r="I13" s="11" t="s">
        <v>20</v>
      </c>
      <c r="P13" s="14"/>
    </row>
    <row r="14">
      <c r="A14" s="15">
        <v>3.2</v>
      </c>
      <c r="B14" s="16" t="s">
        <v>25</v>
      </c>
      <c r="C14" s="16" t="s">
        <v>12</v>
      </c>
      <c r="D14" s="17">
        <v>46295.0</v>
      </c>
      <c r="E14" s="17">
        <v>46298.0</v>
      </c>
      <c r="F14" s="11">
        <f t="shared" si="1"/>
        <v>4</v>
      </c>
      <c r="G14" s="18">
        <v>3.1</v>
      </c>
      <c r="H14" s="11" t="s">
        <v>13</v>
      </c>
      <c r="I14" s="11" t="s">
        <v>20</v>
      </c>
      <c r="P14" s="14"/>
    </row>
    <row r="15">
      <c r="A15" s="8">
        <v>3.3</v>
      </c>
      <c r="B15" s="9" t="s">
        <v>26</v>
      </c>
      <c r="C15" s="9" t="s">
        <v>12</v>
      </c>
      <c r="D15" s="10">
        <v>46299.0</v>
      </c>
      <c r="E15" s="10">
        <v>46300.0</v>
      </c>
      <c r="F15" s="11">
        <f t="shared" si="1"/>
        <v>2</v>
      </c>
      <c r="G15" s="19">
        <v>3.2</v>
      </c>
      <c r="H15" s="11" t="s">
        <v>13</v>
      </c>
      <c r="I15" s="11" t="s">
        <v>20</v>
      </c>
      <c r="P15" s="14"/>
      <c r="Q15" s="14"/>
    </row>
    <row r="16">
      <c r="A16" s="15">
        <v>3.4</v>
      </c>
      <c r="B16" s="16" t="s">
        <v>27</v>
      </c>
      <c r="C16" s="16" t="s">
        <v>12</v>
      </c>
      <c r="D16" s="17">
        <v>46301.0</v>
      </c>
      <c r="E16" s="17">
        <v>46304.0</v>
      </c>
      <c r="F16" s="11">
        <f t="shared" si="1"/>
        <v>4</v>
      </c>
      <c r="G16" s="18">
        <v>3.3</v>
      </c>
      <c r="H16" s="13" t="s">
        <v>18</v>
      </c>
      <c r="I16" s="11" t="s">
        <v>20</v>
      </c>
      <c r="Q16" s="14"/>
    </row>
    <row r="17">
      <c r="A17" s="8">
        <v>4.1</v>
      </c>
      <c r="B17" s="9" t="s">
        <v>28</v>
      </c>
      <c r="C17" s="9" t="s">
        <v>12</v>
      </c>
      <c r="D17" s="10">
        <v>46305.0</v>
      </c>
      <c r="E17" s="10">
        <v>46305.0</v>
      </c>
      <c r="F17" s="11">
        <f t="shared" si="1"/>
        <v>1</v>
      </c>
      <c r="G17" s="19">
        <v>1.4</v>
      </c>
      <c r="H17" s="11" t="s">
        <v>13</v>
      </c>
      <c r="I17" s="11" t="s">
        <v>20</v>
      </c>
      <c r="Q17" s="14"/>
    </row>
    <row r="18">
      <c r="A18" s="15">
        <v>4.2</v>
      </c>
      <c r="B18" s="16" t="s">
        <v>29</v>
      </c>
      <c r="C18" s="16" t="s">
        <v>12</v>
      </c>
      <c r="D18" s="17">
        <v>46306.0</v>
      </c>
      <c r="E18" s="17">
        <v>46307.0</v>
      </c>
      <c r="F18" s="11">
        <f t="shared" si="1"/>
        <v>2</v>
      </c>
      <c r="G18" s="18" t="s">
        <v>30</v>
      </c>
      <c r="H18" s="11" t="s">
        <v>13</v>
      </c>
      <c r="I18" s="11" t="s">
        <v>20</v>
      </c>
      <c r="Q18" s="14"/>
      <c r="R18" s="14"/>
    </row>
    <row r="19">
      <c r="A19" s="8">
        <v>4.3</v>
      </c>
      <c r="B19" s="9" t="s">
        <v>31</v>
      </c>
      <c r="C19" s="9" t="s">
        <v>12</v>
      </c>
      <c r="D19" s="10">
        <v>46308.0</v>
      </c>
      <c r="E19" s="10">
        <v>46310.0</v>
      </c>
      <c r="F19" s="11">
        <f t="shared" si="1"/>
        <v>3</v>
      </c>
      <c r="G19" s="19">
        <v>4.2</v>
      </c>
      <c r="H19" s="11" t="s">
        <v>13</v>
      </c>
      <c r="I19" s="11" t="s">
        <v>20</v>
      </c>
      <c r="R19" s="14"/>
    </row>
    <row r="20">
      <c r="A20" s="15">
        <v>4.4</v>
      </c>
      <c r="B20" s="16" t="s">
        <v>32</v>
      </c>
      <c r="C20" s="16" t="s">
        <v>12</v>
      </c>
      <c r="D20" s="20">
        <v>46311.0</v>
      </c>
      <c r="E20" s="20">
        <v>46311.0</v>
      </c>
      <c r="F20" s="11">
        <f t="shared" si="1"/>
        <v>1</v>
      </c>
      <c r="G20" s="18">
        <v>4.3</v>
      </c>
      <c r="H20" s="11" t="s">
        <v>13</v>
      </c>
      <c r="I20" s="11" t="s">
        <v>20</v>
      </c>
      <c r="R20" s="14"/>
    </row>
    <row r="21" ht="15.75" customHeight="1">
      <c r="A21" s="8">
        <v>4.5</v>
      </c>
      <c r="B21" s="9" t="s">
        <v>33</v>
      </c>
      <c r="C21" s="9" t="s">
        <v>12</v>
      </c>
      <c r="D21" s="21">
        <v>46312.0</v>
      </c>
      <c r="E21" s="21">
        <v>46313.0</v>
      </c>
      <c r="F21" s="11">
        <f t="shared" si="1"/>
        <v>2</v>
      </c>
      <c r="G21" s="19">
        <v>4.4</v>
      </c>
      <c r="H21" s="13" t="s">
        <v>18</v>
      </c>
      <c r="I21" s="11" t="s">
        <v>20</v>
      </c>
      <c r="R21" s="14"/>
    </row>
    <row r="22" ht="15.75" customHeight="1">
      <c r="A22" s="15">
        <v>5.1</v>
      </c>
      <c r="B22" s="16" t="s">
        <v>34</v>
      </c>
      <c r="C22" s="16" t="s">
        <v>12</v>
      </c>
      <c r="D22" s="20">
        <v>46314.0</v>
      </c>
      <c r="E22" s="20">
        <v>46316.0</v>
      </c>
      <c r="F22" s="11">
        <f t="shared" si="1"/>
        <v>3</v>
      </c>
      <c r="G22" s="18">
        <v>4.5</v>
      </c>
      <c r="H22" s="11" t="s">
        <v>13</v>
      </c>
      <c r="I22" s="11" t="s">
        <v>20</v>
      </c>
      <c r="S22" s="14"/>
    </row>
    <row r="23" ht="15.75" customHeight="1">
      <c r="A23" s="8">
        <v>5.2</v>
      </c>
      <c r="B23" s="9" t="s">
        <v>35</v>
      </c>
      <c r="C23" s="9" t="s">
        <v>12</v>
      </c>
      <c r="D23" s="21">
        <v>46317.0</v>
      </c>
      <c r="E23" s="21">
        <v>46324.0</v>
      </c>
      <c r="F23" s="11">
        <f t="shared" si="1"/>
        <v>8</v>
      </c>
      <c r="G23" s="19">
        <v>5.1</v>
      </c>
      <c r="H23" s="11" t="s">
        <v>13</v>
      </c>
      <c r="I23" s="11" t="s">
        <v>20</v>
      </c>
      <c r="S23" s="14"/>
      <c r="T23" s="14"/>
    </row>
    <row r="24" ht="15.75" customHeight="1">
      <c r="A24" s="15">
        <v>5.3</v>
      </c>
      <c r="B24" s="22" t="s">
        <v>36</v>
      </c>
      <c r="C24" s="16" t="s">
        <v>12</v>
      </c>
      <c r="D24" s="20">
        <v>46325.0</v>
      </c>
      <c r="E24" s="20">
        <v>46334.0</v>
      </c>
      <c r="F24" s="11">
        <f t="shared" si="1"/>
        <v>10</v>
      </c>
      <c r="G24" s="23">
        <v>5.2</v>
      </c>
      <c r="H24" s="13" t="s">
        <v>18</v>
      </c>
      <c r="I24" s="11" t="s">
        <v>20</v>
      </c>
      <c r="T24" s="14"/>
      <c r="U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W1"/>
    <mergeCell ref="A2:W2"/>
  </mergeCells>
  <conditionalFormatting sqref="K5:W5">
    <cfRule type="expression" dxfId="5" priority="1">
      <formula>AND(K$4&lt;=$E5,K$4+6&gt;=$D5)</formula>
    </cfRule>
  </conditionalFormatting>
  <conditionalFormatting sqref="K6:W6">
    <cfRule type="expression" dxfId="5" priority="2">
      <formula>AND(K$4&lt;=$E6,K$4+6&gt;=$D6)</formula>
    </cfRule>
  </conditionalFormatting>
  <conditionalFormatting sqref="K7:W7">
    <cfRule type="expression" dxfId="5" priority="3">
      <formula>AND(K$4&lt;=$E7,K$4+6&gt;=$D7)</formula>
    </cfRule>
  </conditionalFormatting>
  <conditionalFormatting sqref="K8:W8">
    <cfRule type="expression" dxfId="5" priority="4">
      <formula>AND(K$4&lt;=$E8,K$4+6&gt;=$D8)</formula>
    </cfRule>
  </conditionalFormatting>
  <conditionalFormatting sqref="K9:W9">
    <cfRule type="expression" dxfId="5" priority="5">
      <formula>AND(K$4&lt;=$E9,K$4+6&gt;=$D9)</formula>
    </cfRule>
  </conditionalFormatting>
  <conditionalFormatting sqref="K10:W10">
    <cfRule type="expression" dxfId="5" priority="6">
      <formula>AND(K$4&lt;=$E10,K$4+6&gt;=$D10)</formula>
    </cfRule>
  </conditionalFormatting>
  <conditionalFormatting sqref="K11:W11">
    <cfRule type="expression" dxfId="5" priority="7">
      <formula>AND(K$4&lt;=$E11,K$4+6&gt;=$D11)</formula>
    </cfRule>
  </conditionalFormatting>
  <conditionalFormatting sqref="K12:W12">
    <cfRule type="expression" dxfId="5" priority="8">
      <formula>AND(K$4&lt;=$E12,K$4+6&gt;=$D12)</formula>
    </cfRule>
  </conditionalFormatting>
  <conditionalFormatting sqref="K13:W13">
    <cfRule type="expression" dxfId="5" priority="9">
      <formula>AND(K$4&lt;=$E13,K$4+6&gt;=$D13)</formula>
    </cfRule>
  </conditionalFormatting>
  <conditionalFormatting sqref="K14:W14">
    <cfRule type="expression" dxfId="5" priority="10">
      <formula>AND(K$4&lt;=$E14,K$4+6&gt;=$D14)</formula>
    </cfRule>
  </conditionalFormatting>
  <conditionalFormatting sqref="K15:W15">
    <cfRule type="expression" dxfId="5" priority="11">
      <formula>AND(K$4&lt;=$E15,K$4+6&gt;=$D15)</formula>
    </cfRule>
  </conditionalFormatting>
  <conditionalFormatting sqref="K16:W16">
    <cfRule type="expression" dxfId="5" priority="12">
      <formula>AND(K$4&lt;=$E16,K$4+6&gt;=$D16)</formula>
    </cfRule>
  </conditionalFormatting>
  <conditionalFormatting sqref="K17:W17">
    <cfRule type="expression" dxfId="5" priority="13">
      <formula>AND(K$4&lt;=$E17,K$4+6&gt;=$D17)</formula>
    </cfRule>
  </conditionalFormatting>
  <conditionalFormatting sqref="K18:W18">
    <cfRule type="expression" dxfId="5" priority="14">
      <formula>AND(K$4&lt;=$E18,K$4+6&gt;=$D18)</formula>
    </cfRule>
  </conditionalFormatting>
  <conditionalFormatting sqref="K19:W19">
    <cfRule type="expression" dxfId="5" priority="15">
      <formula>AND(K$4&lt;=$E19,K$4+6&gt;=$D19)</formula>
    </cfRule>
  </conditionalFormatting>
  <conditionalFormatting sqref="D8">
    <cfRule type="notContainsBlanks" dxfId="6" priority="16">
      <formula>LEN(TRIM(D8))&gt;0</formula>
    </cfRule>
  </conditionalFormatting>
  <conditionalFormatting sqref="K5:W24">
    <cfRule type="notContainsBlanks" dxfId="7" priority="17">
      <formula>LEN(TRIM(K5))&gt;0</formula>
    </cfRule>
  </conditionalFormatting>
  <conditionalFormatting sqref="K5:W24">
    <cfRule type="expression" dxfId="5" priority="18">
      <formula>AND(K$4&lt;=$E5,K$4+6&gt;=$D5)</formula>
    </cfRule>
  </conditionalFormatting>
  <dataValidations>
    <dataValidation type="list" allowBlank="1" sqref="I5:I24">
      <formula1>"No iniciada,En progreso,Bloqueada,En revisión,Terminada"</formula1>
    </dataValidation>
    <dataValidation type="list" allowBlank="1" sqref="H5:H24">
      <formula1>"Sí,No"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